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monvehreschild/Studium/5_Semester_WS25/PRJ/Hydroponic_Tower_Automation/"/>
    </mc:Choice>
  </mc:AlternateContent>
  <xr:revisionPtr revIDLastSave="0" documentId="13_ncr:1_{D32E4700-2247-0747-935C-F857355E1EF7}" xr6:coauthVersionLast="47" xr6:coauthVersionMax="47" xr10:uidLastSave="{00000000-0000-0000-0000-000000000000}"/>
  <bookViews>
    <workbookView xWindow="-25780" yWindow="3920" windowWidth="25780" windowHeight="18420" xr2:uid="{5A78CE1B-D631-4F43-B5D6-F4B75EA76B11}"/>
  </bookViews>
  <sheets>
    <sheet name="3D-Druc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" l="1"/>
  <c r="D9" i="1" s="1"/>
  <c r="D11" i="1"/>
  <c r="C7" i="1"/>
  <c r="D6" i="1"/>
  <c r="D4" i="1"/>
  <c r="D5" i="1"/>
  <c r="D7" i="1"/>
  <c r="D8" i="1"/>
  <c r="D10" i="1"/>
  <c r="B12" i="1"/>
  <c r="D12" i="1" s="1"/>
  <c r="E4" i="1" s="1"/>
  <c r="B3" i="1"/>
  <c r="D3" i="1" s="1"/>
  <c r="E3" i="1" s="1"/>
  <c r="F4" i="1" l="1"/>
  <c r="F3" i="1"/>
</calcChain>
</file>

<file path=xl/sharedStrings.xml><?xml version="1.0" encoding="utf-8"?>
<sst xmlns="http://schemas.openxmlformats.org/spreadsheetml/2006/main" count="21" uniqueCount="21">
  <si>
    <t>Bauteil</t>
  </si>
  <si>
    <t>Anzahl</t>
  </si>
  <si>
    <t>Anzahl Etagen</t>
  </si>
  <si>
    <t>Skalierungsfaktor</t>
  </si>
  <si>
    <t>Gesamtgewicht pro Bauteiltyp [g]</t>
  </si>
  <si>
    <t>Gesamtgewicht Filamenttyp [g]</t>
  </si>
  <si>
    <t>Skalierung um Faktor [g]</t>
  </si>
  <si>
    <t>&lt;-- PETG, lebensmittelecht, schwarz</t>
  </si>
  <si>
    <t>&lt;-- PETG, lebensmittelecht, grün</t>
  </si>
  <si>
    <t>3D Druck Liste</t>
  </si>
  <si>
    <t>Gewicht pro einzelnes Bauteil (100%) [g]</t>
  </si>
  <si>
    <t>Filling_Cap_Symbol.STL</t>
  </si>
  <si>
    <t>Filling_Cap.STL</t>
  </si>
  <si>
    <t xml:space="preserve">Dispenser_Module_Internal.STL </t>
  </si>
  <si>
    <t>4-Way_Planting_Module_Hollow_Twist.STL</t>
  </si>
  <si>
    <t>Lid_Without_Holes.STL</t>
  </si>
  <si>
    <t>Module_Spacer_40mm.STL</t>
  </si>
  <si>
    <t>Pump_Cap.STL</t>
  </si>
  <si>
    <t>Standard_Pot_02_For_4-5-Way_Planting_Module.STL</t>
  </si>
  <si>
    <t>IKEA_Muskot_24cm_Lid.STL</t>
  </si>
  <si>
    <t>Pump_Cap_Symbol.STL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</si>
</sst>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415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7" borderId="1" xfId="0" applyFill="1" applyBorder="1"/>
    <xf numFmtId="0" fontId="0" fillId="6" borderId="1" xfId="0" applyFill="1" applyBorder="1"/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FF41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D5F48-D7F4-B944-802A-A5E854C2E82C}">
  <dimension ref="A1:G16"/>
  <sheetViews>
    <sheetView tabSelected="1" zoomScale="142" zoomScaleNormal="142" workbookViewId="0">
      <selection activeCell="D23" sqref="D23"/>
    </sheetView>
  </sheetViews>
  <sheetFormatPr baseColWidth="10" defaultRowHeight="16" x14ac:dyDescent="0.2"/>
  <cols>
    <col min="1" max="1" width="54.83203125" bestFit="1" customWidth="1"/>
    <col min="3" max="3" width="34.1640625" bestFit="1" customWidth="1"/>
    <col min="4" max="4" width="28.1640625" bestFit="1" customWidth="1"/>
    <col min="5" max="5" width="26.33203125" bestFit="1" customWidth="1"/>
    <col min="6" max="6" width="20.33203125" bestFit="1" customWidth="1"/>
    <col min="7" max="7" width="30.6640625" bestFit="1" customWidth="1"/>
  </cols>
  <sheetData>
    <row r="1" spans="1:7" x14ac:dyDescent="0.2">
      <c r="A1" s="1" t="s">
        <v>9</v>
      </c>
    </row>
    <row r="2" spans="1:7" x14ac:dyDescent="0.2">
      <c r="A2" s="2" t="s">
        <v>0</v>
      </c>
      <c r="B2" s="2" t="s">
        <v>1</v>
      </c>
      <c r="C2" s="2" t="s">
        <v>10</v>
      </c>
      <c r="D2" s="2" t="s">
        <v>4</v>
      </c>
      <c r="E2" s="2" t="s">
        <v>5</v>
      </c>
      <c r="F2" s="2" t="s">
        <v>6</v>
      </c>
    </row>
    <row r="3" spans="1:7" x14ac:dyDescent="0.2">
      <c r="A3" s="3" t="s">
        <v>14</v>
      </c>
      <c r="B3">
        <f>A16</f>
        <v>3</v>
      </c>
      <c r="C3">
        <v>223.86</v>
      </c>
      <c r="D3">
        <f>B3*C3</f>
        <v>671.58</v>
      </c>
      <c r="E3" s="3">
        <f>SUM(D3:D5)+SUM(D7:D10)</f>
        <v>1269.7</v>
      </c>
      <c r="F3" s="3">
        <f>E3*$C$16</f>
        <v>952.27500000000009</v>
      </c>
      <c r="G3" t="s">
        <v>7</v>
      </c>
    </row>
    <row r="4" spans="1:7" x14ac:dyDescent="0.2">
      <c r="A4" s="3" t="s">
        <v>13</v>
      </c>
      <c r="B4">
        <v>1</v>
      </c>
      <c r="C4">
        <v>96.32</v>
      </c>
      <c r="D4">
        <f t="shared" ref="D4:D12" si="0">B4*C4</f>
        <v>96.32</v>
      </c>
      <c r="E4" s="4">
        <f>D12+D11+D6</f>
        <v>531.79000000000008</v>
      </c>
      <c r="F4" s="4">
        <f>E4*$C$16</f>
        <v>398.84250000000009</v>
      </c>
      <c r="G4" t="s">
        <v>8</v>
      </c>
    </row>
    <row r="5" spans="1:7" x14ac:dyDescent="0.2">
      <c r="A5" s="3" t="s">
        <v>12</v>
      </c>
      <c r="B5">
        <v>1</v>
      </c>
      <c r="C5">
        <v>36.64</v>
      </c>
      <c r="D5">
        <f t="shared" si="0"/>
        <v>36.64</v>
      </c>
    </row>
    <row r="6" spans="1:7" x14ac:dyDescent="0.2">
      <c r="A6" s="4" t="s">
        <v>11</v>
      </c>
      <c r="B6">
        <v>1</v>
      </c>
      <c r="C6">
        <v>1.04</v>
      </c>
      <c r="D6">
        <f>B6*C6</f>
        <v>1.04</v>
      </c>
    </row>
    <row r="7" spans="1:7" x14ac:dyDescent="0.2">
      <c r="A7" s="3" t="s">
        <v>19</v>
      </c>
      <c r="B7">
        <v>1</v>
      </c>
      <c r="C7">
        <f>72.08*2</f>
        <v>144.16</v>
      </c>
      <c r="D7">
        <f t="shared" si="0"/>
        <v>144.16</v>
      </c>
    </row>
    <row r="8" spans="1:7" x14ac:dyDescent="0.2">
      <c r="A8" s="3" t="s">
        <v>15</v>
      </c>
      <c r="B8">
        <v>1</v>
      </c>
      <c r="C8">
        <v>90.03</v>
      </c>
      <c r="D8">
        <f t="shared" si="0"/>
        <v>90.03</v>
      </c>
    </row>
    <row r="9" spans="1:7" x14ac:dyDescent="0.2">
      <c r="A9" s="3" t="s">
        <v>16</v>
      </c>
      <c r="B9">
        <f>A16</f>
        <v>3</v>
      </c>
      <c r="C9">
        <v>65.040000000000006</v>
      </c>
      <c r="D9">
        <f t="shared" si="0"/>
        <v>195.12</v>
      </c>
    </row>
    <row r="10" spans="1:7" x14ac:dyDescent="0.2">
      <c r="A10" s="3" t="s">
        <v>17</v>
      </c>
      <c r="B10">
        <v>1</v>
      </c>
      <c r="C10">
        <v>35.85</v>
      </c>
      <c r="D10">
        <f t="shared" si="0"/>
        <v>35.85</v>
      </c>
    </row>
    <row r="11" spans="1:7" x14ac:dyDescent="0.2">
      <c r="A11" s="4" t="s">
        <v>20</v>
      </c>
      <c r="B11">
        <v>1</v>
      </c>
      <c r="C11">
        <v>1.19</v>
      </c>
      <c r="D11">
        <f t="shared" si="0"/>
        <v>1.19</v>
      </c>
    </row>
    <row r="12" spans="1:7" x14ac:dyDescent="0.2">
      <c r="A12" s="4" t="s">
        <v>18</v>
      </c>
      <c r="B12">
        <f>4*A16</f>
        <v>12</v>
      </c>
      <c r="C12">
        <v>44.13</v>
      </c>
      <c r="D12">
        <f t="shared" si="0"/>
        <v>529.56000000000006</v>
      </c>
    </row>
    <row r="15" spans="1:7" x14ac:dyDescent="0.2">
      <c r="A15" s="5" t="s">
        <v>2</v>
      </c>
      <c r="C15" s="6" t="s">
        <v>3</v>
      </c>
    </row>
    <row r="16" spans="1:7" x14ac:dyDescent="0.2">
      <c r="A16" s="5">
        <v>3</v>
      </c>
      <c r="C16" s="6">
        <v>0.75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3D-Druck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Vehreschild</dc:creator>
  <cp:lastModifiedBy>Simon Vehreschild</cp:lastModifiedBy>
  <dcterms:created xsi:type="dcterms:W3CDTF">2025-10-11T12:41:46Z</dcterms:created>
  <dcterms:modified xsi:type="dcterms:W3CDTF">2026-01-11T16:17:48Z</dcterms:modified>
</cp:coreProperties>
</file>